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van/Documents/SCGDust/Paper_Deposition/figures/SingleParticle/"/>
    </mc:Choice>
  </mc:AlternateContent>
  <xr:revisionPtr revIDLastSave="0" documentId="13_ncr:1_{64EB7986-1F72-BE4C-9DD1-367F1B7ADC58}" xr6:coauthVersionLast="47" xr6:coauthVersionMax="47" xr10:uidLastSave="{00000000-0000-0000-0000-000000000000}"/>
  <bookViews>
    <workbookView xWindow="10180" yWindow="1120" windowWidth="28040" windowHeight="17440" xr2:uid="{B465C754-BFA5-B641-AAFE-7052987337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J8" i="1"/>
  <c r="L11" i="1"/>
  <c r="J14" i="1" s="1"/>
  <c r="L9" i="1"/>
  <c r="L7" i="1"/>
  <c r="L6" i="1"/>
  <c r="L5" i="1"/>
  <c r="L4" i="1"/>
  <c r="L3" i="1"/>
  <c r="J9" i="1"/>
  <c r="J7" i="1"/>
  <c r="J6" i="1"/>
  <c r="J5" i="1"/>
  <c r="J4" i="1"/>
  <c r="J3" i="1"/>
  <c r="G10" i="1"/>
  <c r="G9" i="1"/>
  <c r="G8" i="1"/>
  <c r="G7" i="1"/>
  <c r="G6" i="1"/>
  <c r="G5" i="1"/>
  <c r="G4" i="1"/>
  <c r="C6" i="1"/>
</calcChain>
</file>

<file path=xl/sharedStrings.xml><?xml version="1.0" encoding="utf-8"?>
<sst xmlns="http://schemas.openxmlformats.org/spreadsheetml/2006/main" count="19" uniqueCount="13">
  <si>
    <t>Kaolinite</t>
  </si>
  <si>
    <t>Calcite</t>
  </si>
  <si>
    <t>Illite</t>
  </si>
  <si>
    <t>Microcline</t>
  </si>
  <si>
    <t>Quartz</t>
  </si>
  <si>
    <t>Feldspar</t>
  </si>
  <si>
    <t>Abundance</t>
  </si>
  <si>
    <t>Silicate</t>
  </si>
  <si>
    <t>K-rich</t>
  </si>
  <si>
    <t>density x abundance</t>
  </si>
  <si>
    <t>Normalizaton</t>
  </si>
  <si>
    <t>Density</t>
  </si>
  <si>
    <t>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</si>
</sst>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F6B6-D2C0-6C4B-9C14-4CA0CCC4F233}">
  <dimension ref="B2:L14"/>
  <sheetViews>
    <sheetView tabSelected="1" workbookViewId="0">
      <selection activeCell="C13" sqref="C13"/>
    </sheetView>
  </sheetViews>
  <sheetFormatPr baseColWidth="10" defaultRowHeight="16" x14ac:dyDescent="0.2"/>
  <cols>
    <col min="10" max="10" width="17.6640625" bestFit="1" customWidth="1"/>
  </cols>
  <sheetData>
    <row r="2" spans="2:12" x14ac:dyDescent="0.2">
      <c r="G2" t="s">
        <v>6</v>
      </c>
      <c r="J2" t="s">
        <v>9</v>
      </c>
      <c r="L2" t="s">
        <v>10</v>
      </c>
    </row>
    <row r="3" spans="2:12" x14ac:dyDescent="0.2">
      <c r="B3" s="1" t="s">
        <v>0</v>
      </c>
      <c r="C3" s="1">
        <v>2680</v>
      </c>
      <c r="E3">
        <v>19.581395348837098</v>
      </c>
      <c r="F3">
        <v>20</v>
      </c>
      <c r="G3">
        <v>20</v>
      </c>
      <c r="H3" t="s">
        <v>4</v>
      </c>
      <c r="J3">
        <f>C7*G3</f>
        <v>53400</v>
      </c>
      <c r="L3">
        <f>G3</f>
        <v>20</v>
      </c>
    </row>
    <row r="4" spans="2:12" x14ac:dyDescent="0.2">
      <c r="B4" s="1" t="s">
        <v>1</v>
      </c>
      <c r="C4" s="1">
        <v>2710</v>
      </c>
      <c r="E4">
        <v>58.093023255813897</v>
      </c>
      <c r="F4">
        <v>58</v>
      </c>
      <c r="G4">
        <f>F4-F3</f>
        <v>38</v>
      </c>
      <c r="H4" t="s">
        <v>5</v>
      </c>
      <c r="J4">
        <f>C8*G4</f>
        <v>101840</v>
      </c>
      <c r="L4">
        <f>G4</f>
        <v>38</v>
      </c>
    </row>
    <row r="5" spans="2:12" x14ac:dyDescent="0.2">
      <c r="B5" s="1" t="s">
        <v>2</v>
      </c>
      <c r="C5" s="1">
        <v>2795</v>
      </c>
      <c r="E5">
        <v>61.302325581395301</v>
      </c>
      <c r="F5">
        <v>61</v>
      </c>
      <c r="G5">
        <f>F5-F4</f>
        <v>3</v>
      </c>
      <c r="H5" t="s">
        <v>1</v>
      </c>
      <c r="J5">
        <f>C4*G5</f>
        <v>8130</v>
      </c>
      <c r="L5">
        <f>G5</f>
        <v>3</v>
      </c>
    </row>
    <row r="6" spans="2:12" x14ac:dyDescent="0.2">
      <c r="B6" s="1" t="s">
        <v>3</v>
      </c>
      <c r="C6" s="1">
        <f>(2540+2570)/2</f>
        <v>2555</v>
      </c>
      <c r="E6">
        <v>64.651162790697597</v>
      </c>
      <c r="F6">
        <v>65</v>
      </c>
      <c r="G6">
        <f>F6-F5</f>
        <v>4</v>
      </c>
      <c r="H6" t="s">
        <v>0</v>
      </c>
      <c r="J6">
        <f>C3*G6</f>
        <v>10720</v>
      </c>
      <c r="L6">
        <f>G6</f>
        <v>4</v>
      </c>
    </row>
    <row r="7" spans="2:12" x14ac:dyDescent="0.2">
      <c r="B7" s="1" t="s">
        <v>4</v>
      </c>
      <c r="C7" s="1">
        <v>2670</v>
      </c>
      <c r="E7">
        <v>71.069767441860407</v>
      </c>
      <c r="F7">
        <v>71</v>
      </c>
      <c r="G7">
        <f>F7-F6</f>
        <v>6</v>
      </c>
      <c r="H7" t="s">
        <v>3</v>
      </c>
      <c r="J7">
        <f>C6*G7</f>
        <v>15330</v>
      </c>
      <c r="L7">
        <f>G7</f>
        <v>6</v>
      </c>
    </row>
    <row r="8" spans="2:12" x14ac:dyDescent="0.2">
      <c r="B8" s="1" t="s">
        <v>5</v>
      </c>
      <c r="C8" s="1">
        <v>2680</v>
      </c>
      <c r="E8">
        <v>83.767441860465098</v>
      </c>
      <c r="F8">
        <v>84</v>
      </c>
      <c r="G8">
        <f>F8-F7</f>
        <v>13</v>
      </c>
      <c r="H8" t="s">
        <v>7</v>
      </c>
      <c r="J8">
        <f>C9*G8</f>
        <v>36725</v>
      </c>
      <c r="L8">
        <f>G8</f>
        <v>13</v>
      </c>
    </row>
    <row r="9" spans="2:12" x14ac:dyDescent="0.2">
      <c r="B9" s="1" t="s">
        <v>12</v>
      </c>
      <c r="C9" s="1">
        <v>2825</v>
      </c>
      <c r="E9">
        <v>93.395348837209298</v>
      </c>
      <c r="F9">
        <v>93</v>
      </c>
      <c r="G9">
        <f>F9-F8</f>
        <v>9</v>
      </c>
      <c r="H9" t="s">
        <v>2</v>
      </c>
      <c r="J9">
        <f>C5*G9</f>
        <v>25155</v>
      </c>
      <c r="L9">
        <f>G9</f>
        <v>9</v>
      </c>
    </row>
    <row r="10" spans="2:12" x14ac:dyDescent="0.2">
      <c r="E10">
        <v>99.813953488371993</v>
      </c>
      <c r="F10">
        <v>100</v>
      </c>
      <c r="G10">
        <f>F10-F9</f>
        <v>7</v>
      </c>
      <c r="H10" t="s">
        <v>8</v>
      </c>
    </row>
    <row r="11" spans="2:12" x14ac:dyDescent="0.2">
      <c r="L11">
        <f>SUM(L3:L10)</f>
        <v>93</v>
      </c>
    </row>
    <row r="13" spans="2:12" x14ac:dyDescent="0.2">
      <c r="J13" t="s">
        <v>11</v>
      </c>
    </row>
    <row r="14" spans="2:12" x14ac:dyDescent="0.2">
      <c r="J14" s="2">
        <f>SUM(J3:J10)/L11</f>
        <v>2702.1505376344085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Evan, Amato</dc:creator>
  <cp:lastModifiedBy>Evan, Amato</cp:lastModifiedBy>
  <dcterms:created xsi:type="dcterms:W3CDTF">2026-07-29T22:24:18Z</dcterms:created>
  <dcterms:modified xsi:type="dcterms:W3CDTF">2026-07-29T22:38:58Z</dcterms:modified>
</cp:coreProperties>
</file>